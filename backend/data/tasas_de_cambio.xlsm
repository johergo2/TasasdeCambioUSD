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11" defaultThemeVersion="166925"/>
  <mc:AlternateContent xmlns:mc="http://schemas.openxmlformats.org/markup-compatibility/2006">
    <mc:Choice Requires="x15">
      <x15ac:absPath xmlns:x15ac="http://schemas.microsoft.com/office/spreadsheetml/2010/11/ac" url="C:\Desarrollos\API_TasasCambio_USA\backend\data\"/>
    </mc:Choice>
  </mc:AlternateContent>
  <xr:revisionPtr revIDLastSave="0" documentId="13_ncr:1_{D3BC0A69-F655-404A-BC3D-039795F641A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7" i="3" l="1"/>
  <c r="C6" i="3"/>
  <c r="C5" i="3"/>
  <c r="C4" i="3"/>
  <c r="F4" i="2"/>
  <c r="F5" i="2"/>
  <c r="F6" i="2"/>
  <c r="F7" i="2"/>
  <c r="F8" i="2"/>
  <c r="F3" i="2"/>
</calcChain>
</file>

<file path=xl/sharedStrings.xml><?xml version="1.0" encoding="utf-8"?>
<sst xmlns="http://schemas.openxmlformats.org/spreadsheetml/2006/main" count="125" uniqueCount="48">
  <si>
    <t>Dólar canadiense</t>
  </si>
  <si>
    <t>Dólar de Singapur</t>
  </si>
  <si>
    <t>Euro</t>
  </si>
  <si>
    <t>Franco suizo</t>
  </si>
  <si>
    <t>Libra esterlina</t>
  </si>
  <si>
    <t>Yen japonés</t>
  </si>
  <si>
    <t>Dólares estadounidenses por cada moneda</t>
  </si>
  <si>
    <t>Moneda por cada dólar estadounidense</t>
  </si>
  <si>
    <t>Moneda</t>
  </si>
  <si>
    <t/>
  </si>
  <si>
    <t>Corona danesa</t>
  </si>
  <si>
    <t>Corona noruega</t>
  </si>
  <si>
    <t>Corona sueca</t>
  </si>
  <si>
    <t>Dólar australiano</t>
  </si>
  <si>
    <t>Dólar de Hong Kong</t>
  </si>
  <si>
    <t>Dólar estadounidense</t>
  </si>
  <si>
    <t>Dólar neozelandés</t>
  </si>
  <si>
    <t>Reminbi Chino</t>
  </si>
  <si>
    <t>Reminbi Chino Offshore</t>
  </si>
  <si>
    <t>Won surcoreano</t>
  </si>
  <si>
    <t>DKK</t>
  </si>
  <si>
    <t>NOK</t>
  </si>
  <si>
    <t>SEK</t>
  </si>
  <si>
    <t>AUD</t>
  </si>
  <si>
    <t>CAD</t>
  </si>
  <si>
    <t>HKD</t>
  </si>
  <si>
    <t>SGD</t>
  </si>
  <si>
    <t>USD</t>
  </si>
  <si>
    <t>NZD</t>
  </si>
  <si>
    <t>EUR</t>
  </si>
  <si>
    <t>CHF</t>
  </si>
  <si>
    <t>GBP</t>
  </si>
  <si>
    <t>CNY</t>
  </si>
  <si>
    <t>CNH</t>
  </si>
  <si>
    <t>KRW</t>
  </si>
  <si>
    <t>JPY</t>
  </si>
  <si>
    <t>Fecha (dd/mm/aaaa)</t>
  </si>
  <si>
    <t>Tipo de tasa</t>
  </si>
  <si>
    <t>Pesos colombianos por cada moneda</t>
  </si>
  <si>
    <t>Compra</t>
  </si>
  <si>
    <t>Media</t>
  </si>
  <si>
    <t>Venta</t>
  </si>
  <si>
    <t>Sigla</t>
  </si>
  <si>
    <t>Fecha</t>
  </si>
  <si>
    <t>FromMoneda</t>
  </si>
  <si>
    <t>ToMoneda</t>
  </si>
  <si>
    <t>Factor</t>
  </si>
  <si>
    <t>TipoTasa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</si>
</sst>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C0A]dd/mm/yyyy"/>
    <numFmt numFmtId="165" formatCode="#,##0.00000;\-#,##0.00000"/>
    <numFmt numFmtId="166" formatCode="yyyy\-mm\-dd;@"/>
  </numFmts>
  <fonts count="6">
    <font>
      <sz val="11"/>
      <color theme="1"/>
      <name val="Calibri"/>
      <family val="2"/>
      <scheme val="minor"/>
    </font>
    <font>
      <sz val="8.25"/>
      <name val="Oracle Sans"/>
    </font>
    <font>
      <sz val="10"/>
      <color rgb="FFFFFFFF"/>
      <name val="Oracle Sans"/>
    </font>
    <font>
      <sz val="8.25"/>
      <color rgb="FFFFFFFF"/>
      <name val="Oracle Sans"/>
    </font>
    <font>
      <sz val="8.25"/>
      <color rgb="FF000000"/>
      <name val="Oracle Sans"/>
    </font>
    <font>
      <sz val="7.5"/>
      <color rgb="FF000000"/>
      <name val="Oracle Sans"/>
    </font>
  </fonts>
  <fills count="4">
    <fill>
      <patternFill patternType="none"/>
    </fill>
    <fill>
      <patternFill patternType="gray125"/>
    </fill>
    <fill>
      <patternFill patternType="solid">
        <fgColor rgb="FF4D4F5B"/>
        <bgColor rgb="FF4D4F5B"/>
      </patternFill>
    </fill>
    <fill>
      <patternFill patternType="solid">
        <fgColor rgb="FFFFFFFF"/>
        <bgColor rgb="FFFFFFFF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161513"/>
      </right>
      <top/>
      <bottom style="thin">
        <color rgb="FF1615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161513"/>
      </right>
      <top style="medium">
        <color indexed="64"/>
      </top>
      <bottom style="medium">
        <color indexed="64"/>
      </bottom>
      <diagonal/>
    </border>
    <border>
      <left/>
      <right style="thin">
        <color rgb="FF161513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center"/>
    </xf>
    <xf numFmtId="0" fontId="0" fillId="0" borderId="1" xfId="0" applyBorder="1"/>
    <xf numFmtId="0" fontId="0" fillId="0" borderId="2" xfId="0" applyBorder="1"/>
    <xf numFmtId="0" fontId="3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left" vertical="center"/>
    </xf>
    <xf numFmtId="164" fontId="3" fillId="2" borderId="3" xfId="0" applyNumberFormat="1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165" fontId="5" fillId="3" borderId="3" xfId="0" applyNumberFormat="1" applyFont="1" applyFill="1" applyBorder="1" applyAlignment="1">
      <alignment horizontal="right" vertical="center"/>
    </xf>
    <xf numFmtId="0" fontId="5" fillId="3" borderId="3" xfId="0" applyFont="1" applyFill="1" applyBorder="1" applyAlignment="1">
      <alignment horizontal="right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66" fontId="0" fillId="0" borderId="10" xfId="0" applyNumberFormat="1" applyBorder="1"/>
    <xf numFmtId="166" fontId="0" fillId="0" borderId="11" xfId="0" applyNumberFormat="1" applyBorder="1"/>
    <xf numFmtId="0" fontId="1" fillId="0" borderId="12" xfId="0" applyFont="1" applyFill="1" applyBorder="1" applyAlignment="1">
      <alignment horizontal="left" vertical="center"/>
    </xf>
    <xf numFmtId="0" fontId="0" fillId="0" borderId="12" xfId="0" applyBorder="1"/>
    <xf numFmtId="0" fontId="0" fillId="0" borderId="13" xfId="0" applyBorder="1"/>
    <xf numFmtId="0" fontId="2" fillId="2" borderId="14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1" fillId="0" borderId="19" xfId="0" applyFont="1" applyFill="1" applyBorder="1" applyAlignment="1">
      <alignment horizontal="left" vertical="center"/>
    </xf>
    <xf numFmtId="0" fontId="1" fillId="0" borderId="20" xfId="0" applyFont="1" applyFill="1" applyBorder="1" applyAlignment="1">
      <alignment horizontal="left" vertical="center"/>
    </xf>
    <xf numFmtId="0" fontId="1" fillId="0" borderId="21" xfId="0" applyFont="1" applyFill="1" applyBorder="1" applyAlignment="1">
      <alignment horizontal="left" vertical="center"/>
    </xf>
    <xf numFmtId="166" fontId="0" fillId="0" borderId="1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X6"/>
  <sheetViews>
    <sheetView topLeftCell="AA1" workbookViewId="0">
      <selection activeCell="AH5" sqref="AH5"/>
    </sheetView>
  </sheetViews>
  <sheetFormatPr baseColWidth="10" defaultRowHeight="15"/>
  <sheetData>
    <row r="1" spans="1:50">
      <c r="A1" s="5" t="s">
        <v>9</v>
      </c>
      <c r="B1" s="5" t="s">
        <v>9</v>
      </c>
      <c r="C1" s="5" t="s">
        <v>10</v>
      </c>
      <c r="D1" s="5"/>
      <c r="E1" s="5"/>
      <c r="F1" s="5" t="s">
        <v>11</v>
      </c>
      <c r="G1" s="5"/>
      <c r="H1" s="5"/>
      <c r="I1" s="5" t="s">
        <v>12</v>
      </c>
      <c r="J1" s="5"/>
      <c r="K1" s="5"/>
      <c r="L1" s="5" t="s">
        <v>13</v>
      </c>
      <c r="M1" s="5"/>
      <c r="N1" s="5"/>
      <c r="O1" s="5" t="s">
        <v>0</v>
      </c>
      <c r="P1" s="5"/>
      <c r="Q1" s="5"/>
      <c r="R1" s="5" t="s">
        <v>14</v>
      </c>
      <c r="S1" s="5"/>
      <c r="T1" s="5"/>
      <c r="U1" s="5" t="s">
        <v>1</v>
      </c>
      <c r="V1" s="5"/>
      <c r="W1" s="5"/>
      <c r="X1" s="5" t="s">
        <v>15</v>
      </c>
      <c r="Y1" s="5"/>
      <c r="Z1" s="5"/>
      <c r="AA1" s="5" t="s">
        <v>16</v>
      </c>
      <c r="AB1" s="5"/>
      <c r="AC1" s="5"/>
      <c r="AD1" s="5" t="s">
        <v>2</v>
      </c>
      <c r="AE1" s="5"/>
      <c r="AF1" s="5"/>
      <c r="AG1" s="5" t="s">
        <v>3</v>
      </c>
      <c r="AH1" s="5"/>
      <c r="AI1" s="5"/>
      <c r="AJ1" s="5" t="s">
        <v>4</v>
      </c>
      <c r="AK1" s="5"/>
      <c r="AL1" s="5"/>
      <c r="AM1" s="5" t="s">
        <v>17</v>
      </c>
      <c r="AN1" s="5"/>
      <c r="AO1" s="5"/>
      <c r="AP1" s="5" t="s">
        <v>18</v>
      </c>
      <c r="AQ1" s="5"/>
      <c r="AR1" s="5"/>
      <c r="AS1" s="5" t="s">
        <v>19</v>
      </c>
      <c r="AT1" s="5"/>
      <c r="AU1" s="5"/>
      <c r="AV1" s="5" t="s">
        <v>5</v>
      </c>
      <c r="AW1" s="5"/>
      <c r="AX1" s="5"/>
    </row>
    <row r="2" spans="1:50">
      <c r="A2" s="5" t="s">
        <v>9</v>
      </c>
      <c r="B2" s="5" t="s">
        <v>9</v>
      </c>
      <c r="C2" s="5" t="s">
        <v>20</v>
      </c>
      <c r="D2" s="5"/>
      <c r="E2" s="5"/>
      <c r="F2" s="5" t="s">
        <v>21</v>
      </c>
      <c r="G2" s="5"/>
      <c r="H2" s="5"/>
      <c r="I2" s="5" t="s">
        <v>22</v>
      </c>
      <c r="J2" s="5"/>
      <c r="K2" s="5"/>
      <c r="L2" s="5" t="s">
        <v>23</v>
      </c>
      <c r="M2" s="5"/>
      <c r="N2" s="5"/>
      <c r="O2" s="5" t="s">
        <v>24</v>
      </c>
      <c r="P2" s="5"/>
      <c r="Q2" s="5"/>
      <c r="R2" s="5" t="s">
        <v>25</v>
      </c>
      <c r="S2" s="5"/>
      <c r="T2" s="5"/>
      <c r="U2" s="5" t="s">
        <v>26</v>
      </c>
      <c r="V2" s="5"/>
      <c r="W2" s="5"/>
      <c r="X2" s="5" t="s">
        <v>27</v>
      </c>
      <c r="Y2" s="5"/>
      <c r="Z2" s="5"/>
      <c r="AA2" s="5" t="s">
        <v>28</v>
      </c>
      <c r="AB2" s="5"/>
      <c r="AC2" s="5"/>
      <c r="AD2" s="5" t="s">
        <v>29</v>
      </c>
      <c r="AE2" s="5"/>
      <c r="AF2" s="5"/>
      <c r="AG2" s="5" t="s">
        <v>30</v>
      </c>
      <c r="AH2" s="5"/>
      <c r="AI2" s="5"/>
      <c r="AJ2" s="5" t="s">
        <v>31</v>
      </c>
      <c r="AK2" s="5"/>
      <c r="AL2" s="5"/>
      <c r="AM2" s="5" t="s">
        <v>32</v>
      </c>
      <c r="AN2" s="5"/>
      <c r="AO2" s="5"/>
      <c r="AP2" s="5" t="s">
        <v>33</v>
      </c>
      <c r="AQ2" s="5"/>
      <c r="AR2" s="5"/>
      <c r="AS2" s="5" t="s">
        <v>34</v>
      </c>
      <c r="AT2" s="5"/>
      <c r="AU2" s="5"/>
      <c r="AV2" s="5" t="s">
        <v>35</v>
      </c>
      <c r="AW2" s="5"/>
      <c r="AX2" s="5"/>
    </row>
    <row r="3" spans="1:50">
      <c r="A3" s="6" t="s">
        <v>36</v>
      </c>
      <c r="B3" s="6" t="s">
        <v>37</v>
      </c>
      <c r="C3" s="5" t="s">
        <v>6</v>
      </c>
      <c r="D3" s="5" t="s">
        <v>7</v>
      </c>
      <c r="E3" s="5" t="s">
        <v>38</v>
      </c>
      <c r="F3" s="5" t="s">
        <v>6</v>
      </c>
      <c r="G3" s="5" t="s">
        <v>7</v>
      </c>
      <c r="H3" s="5" t="s">
        <v>38</v>
      </c>
      <c r="I3" s="5" t="s">
        <v>6</v>
      </c>
      <c r="J3" s="5" t="s">
        <v>7</v>
      </c>
      <c r="K3" s="5" t="s">
        <v>38</v>
      </c>
      <c r="L3" s="5" t="s">
        <v>6</v>
      </c>
      <c r="M3" s="5" t="s">
        <v>7</v>
      </c>
      <c r="N3" s="5" t="s">
        <v>38</v>
      </c>
      <c r="O3" s="5" t="s">
        <v>6</v>
      </c>
      <c r="P3" s="5" t="s">
        <v>7</v>
      </c>
      <c r="Q3" s="5" t="s">
        <v>38</v>
      </c>
      <c r="R3" s="5" t="s">
        <v>6</v>
      </c>
      <c r="S3" s="5" t="s">
        <v>7</v>
      </c>
      <c r="T3" s="5" t="s">
        <v>38</v>
      </c>
      <c r="U3" s="5" t="s">
        <v>6</v>
      </c>
      <c r="V3" s="5" t="s">
        <v>7</v>
      </c>
      <c r="W3" s="5" t="s">
        <v>38</v>
      </c>
      <c r="X3" s="5" t="s">
        <v>6</v>
      </c>
      <c r="Y3" s="5" t="s">
        <v>7</v>
      </c>
      <c r="Z3" s="5" t="s">
        <v>38</v>
      </c>
      <c r="AA3" s="5" t="s">
        <v>6</v>
      </c>
      <c r="AB3" s="5" t="s">
        <v>7</v>
      </c>
      <c r="AC3" s="5" t="s">
        <v>38</v>
      </c>
      <c r="AD3" s="5" t="s">
        <v>6</v>
      </c>
      <c r="AE3" s="5" t="s">
        <v>7</v>
      </c>
      <c r="AF3" s="5" t="s">
        <v>38</v>
      </c>
      <c r="AG3" s="5" t="s">
        <v>6</v>
      </c>
      <c r="AH3" s="5" t="s">
        <v>7</v>
      </c>
      <c r="AI3" s="5" t="s">
        <v>38</v>
      </c>
      <c r="AJ3" s="5" t="s">
        <v>6</v>
      </c>
      <c r="AK3" s="5" t="s">
        <v>7</v>
      </c>
      <c r="AL3" s="5" t="s">
        <v>38</v>
      </c>
      <c r="AM3" s="5" t="s">
        <v>6</v>
      </c>
      <c r="AN3" s="5" t="s">
        <v>7</v>
      </c>
      <c r="AO3" s="5" t="s">
        <v>38</v>
      </c>
      <c r="AP3" s="5" t="s">
        <v>6</v>
      </c>
      <c r="AQ3" s="5" t="s">
        <v>7</v>
      </c>
      <c r="AR3" s="5" t="s">
        <v>38</v>
      </c>
      <c r="AS3" s="5" t="s">
        <v>6</v>
      </c>
      <c r="AT3" s="5" t="s">
        <v>7</v>
      </c>
      <c r="AU3" s="5" t="s">
        <v>38</v>
      </c>
      <c r="AV3" s="5" t="s">
        <v>6</v>
      </c>
      <c r="AW3" s="5" t="s">
        <v>7</v>
      </c>
      <c r="AX3" s="5" t="s">
        <v>38</v>
      </c>
    </row>
    <row r="4" spans="1:50">
      <c r="A4" s="7">
        <v>46035</v>
      </c>
      <c r="B4" s="8" t="s">
        <v>39</v>
      </c>
      <c r="C4" s="9">
        <v>0.155904087805182</v>
      </c>
      <c r="D4" s="9">
        <v>6.4130000000000003</v>
      </c>
      <c r="E4" s="9">
        <v>579.50952573976497</v>
      </c>
      <c r="F4" s="9">
        <v>9.9216192082547894E-2</v>
      </c>
      <c r="G4" s="9">
        <v>10.0747</v>
      </c>
      <c r="H4" s="9">
        <v>368.79551542811799</v>
      </c>
      <c r="I4" s="9">
        <v>0.10873583715721</v>
      </c>
      <c r="J4" s="9">
        <v>9.1922999999999995</v>
      </c>
      <c r="K4" s="9">
        <v>404.18089293869502</v>
      </c>
      <c r="L4" s="9">
        <v>0.66849999999999998</v>
      </c>
      <c r="M4" s="9">
        <v>1.4949917775452199</v>
      </c>
      <c r="N4" s="9">
        <v>2484.8746649999998</v>
      </c>
      <c r="O4" s="9">
        <v>0.72040919242129497</v>
      </c>
      <c r="P4" s="9">
        <v>1.3877999999999999</v>
      </c>
      <c r="Q4" s="9">
        <v>2677.8258050572699</v>
      </c>
      <c r="R4" s="9">
        <v>0.12819362364916001</v>
      </c>
      <c r="S4" s="9">
        <v>7.8002000000000002</v>
      </c>
      <c r="T4" s="9">
        <v>476.50723653005502</v>
      </c>
      <c r="U4" s="9">
        <v>0.77585538055706404</v>
      </c>
      <c r="V4" s="9">
        <v>1.2882</v>
      </c>
      <c r="W4" s="9">
        <v>2883.9242765148601</v>
      </c>
      <c r="X4" s="9">
        <v>1</v>
      </c>
      <c r="Y4" s="9">
        <v>1</v>
      </c>
      <c r="Z4" s="10" t="s">
        <v>9</v>
      </c>
      <c r="AA4" s="9">
        <v>0.57469999999999999</v>
      </c>
      <c r="AB4" s="9">
        <v>1.7385257301808099</v>
      </c>
      <c r="AC4" s="9">
        <v>2136.2116230000001</v>
      </c>
      <c r="AD4" s="9">
        <v>1.165</v>
      </c>
      <c r="AE4" s="9">
        <v>0.85822176450394805</v>
      </c>
      <c r="AF4" s="9">
        <v>4330.40985</v>
      </c>
      <c r="AG4" s="9">
        <v>1.25</v>
      </c>
      <c r="AH4" s="9">
        <v>0.79969999999999997</v>
      </c>
      <c r="AI4" s="9">
        <v>4646.3625000000002</v>
      </c>
      <c r="AJ4" s="9">
        <v>1.3434999999999999</v>
      </c>
      <c r="AK4" s="9">
        <v>0.74410298385296503</v>
      </c>
      <c r="AL4" s="9">
        <v>4993.9104150000003</v>
      </c>
      <c r="AM4" s="9">
        <v>0.14332602370612399</v>
      </c>
      <c r="AN4" s="9">
        <v>6.9763000000000002</v>
      </c>
      <c r="AO4" s="9">
        <v>532.755729457798</v>
      </c>
      <c r="AP4" s="9">
        <v>0.143437038312033</v>
      </c>
      <c r="AQ4" s="9">
        <v>6.9711999999999996</v>
      </c>
      <c r="AR4" s="9">
        <v>533.16838073927397</v>
      </c>
      <c r="AS4" s="9">
        <v>6.7838002849196098E-4</v>
      </c>
      <c r="AT4" s="9">
        <v>1473.7</v>
      </c>
      <c r="AU4" s="9">
        <v>2.52159962010718</v>
      </c>
      <c r="AV4" s="9">
        <v>6.2912865681031801E-3</v>
      </c>
      <c r="AW4" s="9">
        <v>158.91999999999999</v>
      </c>
      <c r="AX4" s="9">
        <v>23.385278389430599</v>
      </c>
    </row>
    <row r="5" spans="1:50">
      <c r="A5" s="7"/>
      <c r="B5" s="8" t="s">
        <v>40</v>
      </c>
      <c r="C5" s="9">
        <v>0.15591867282025701</v>
      </c>
      <c r="D5" s="9">
        <v>6.4135999999999997</v>
      </c>
      <c r="E5" s="9">
        <v>579.56373955344895</v>
      </c>
      <c r="F5" s="9">
        <v>9.92373608816247E-2</v>
      </c>
      <c r="G5" s="9">
        <v>10.07685</v>
      </c>
      <c r="H5" s="9">
        <v>368.87420175947801</v>
      </c>
      <c r="I5" s="9">
        <v>0.10876126358836</v>
      </c>
      <c r="J5" s="9">
        <v>9.1944499999999998</v>
      </c>
      <c r="K5" s="9">
        <v>404.27540527165797</v>
      </c>
      <c r="L5" s="9">
        <v>0.66869999999999996</v>
      </c>
      <c r="M5" s="9">
        <v>1.49543891132047</v>
      </c>
      <c r="N5" s="9">
        <v>2485.6180829999998</v>
      </c>
      <c r="O5" s="9">
        <v>0.72048704924528995</v>
      </c>
      <c r="P5" s="9">
        <v>1.38795</v>
      </c>
      <c r="Q5" s="9">
        <v>2678.1152058791699</v>
      </c>
      <c r="R5" s="9">
        <v>0.128197732182118</v>
      </c>
      <c r="S5" s="9">
        <v>7.8004499999999997</v>
      </c>
      <c r="T5" s="9">
        <v>476.52250831682801</v>
      </c>
      <c r="U5" s="9">
        <v>0.77606612083349502</v>
      </c>
      <c r="V5" s="9">
        <v>1.2885500000000001</v>
      </c>
      <c r="W5" s="9">
        <v>2884.70761708897</v>
      </c>
      <c r="X5" s="9">
        <v>1</v>
      </c>
      <c r="Y5" s="9">
        <v>1</v>
      </c>
      <c r="Z5" s="9">
        <v>3717.09</v>
      </c>
      <c r="AA5" s="9">
        <v>0.57494999999999996</v>
      </c>
      <c r="AB5" s="9">
        <v>1.7392816766675401</v>
      </c>
      <c r="AC5" s="9">
        <v>2137.1408955000002</v>
      </c>
      <c r="AD5" s="9">
        <v>1.1651</v>
      </c>
      <c r="AE5" s="9">
        <v>0.85829542528538305</v>
      </c>
      <c r="AF5" s="9">
        <v>4330.781559</v>
      </c>
      <c r="AG5" s="9">
        <v>1.2502344189535499</v>
      </c>
      <c r="AH5" s="9">
        <v>0.79984999999999995</v>
      </c>
      <c r="AI5" s="9">
        <v>4647.2338563480698</v>
      </c>
      <c r="AJ5" s="9">
        <v>1.3436999999999999</v>
      </c>
      <c r="AK5" s="9">
        <v>0.74421373818560699</v>
      </c>
      <c r="AL5" s="9">
        <v>4994.6538330000003</v>
      </c>
      <c r="AM5" s="9">
        <v>0.14333424111686</v>
      </c>
      <c r="AN5" s="9">
        <v>6.9767000000000001</v>
      </c>
      <c r="AO5" s="9">
        <v>532.78627431307098</v>
      </c>
      <c r="AP5" s="9">
        <v>0.143442182042473</v>
      </c>
      <c r="AQ5" s="9">
        <v>6.9714499999999999</v>
      </c>
      <c r="AR5" s="9">
        <v>533.18750044825697</v>
      </c>
      <c r="AS5" s="9">
        <v>6.78472080873872E-4</v>
      </c>
      <c r="AT5" s="9">
        <v>1473.9</v>
      </c>
      <c r="AU5" s="9">
        <v>2.5219417870954599</v>
      </c>
      <c r="AV5" s="9">
        <v>6.2918803284361504E-3</v>
      </c>
      <c r="AW5" s="9">
        <v>158.935</v>
      </c>
      <c r="AX5" s="9">
        <v>23.387485450026698</v>
      </c>
    </row>
    <row r="6" spans="1:50">
      <c r="A6" s="7"/>
      <c r="B6" s="8" t="s">
        <v>41</v>
      </c>
      <c r="C6" s="9">
        <v>0.15593326056447801</v>
      </c>
      <c r="D6" s="9">
        <v>6.4142000000000001</v>
      </c>
      <c r="E6" s="9">
        <v>579.61796351161695</v>
      </c>
      <c r="F6" s="9">
        <v>9.9258538715793002E-2</v>
      </c>
      <c r="G6" s="9">
        <v>10.079000000000001</v>
      </c>
      <c r="H6" s="9">
        <v>368.952921675087</v>
      </c>
      <c r="I6" s="9">
        <v>0.10878670191355801</v>
      </c>
      <c r="J6" s="9">
        <v>9.1966000000000001</v>
      </c>
      <c r="K6" s="9">
        <v>404.36996181586801</v>
      </c>
      <c r="L6" s="9">
        <v>0.66890000000000005</v>
      </c>
      <c r="M6" s="9">
        <v>1.49588631264024</v>
      </c>
      <c r="N6" s="9">
        <v>2486.3615009999999</v>
      </c>
      <c r="O6" s="9">
        <v>0.72056492289955298</v>
      </c>
      <c r="P6" s="9">
        <v>1.3880999999999999</v>
      </c>
      <c r="Q6" s="9">
        <v>2678.4046692606998</v>
      </c>
      <c r="R6" s="9">
        <v>0.12820184097843601</v>
      </c>
      <c r="S6" s="9">
        <v>7.8007</v>
      </c>
      <c r="T6" s="9">
        <v>476.53778108253601</v>
      </c>
      <c r="U6" s="9">
        <v>0.77627697562490305</v>
      </c>
      <c r="V6" s="9">
        <v>1.2888999999999999</v>
      </c>
      <c r="W6" s="9">
        <v>2885.49138332557</v>
      </c>
      <c r="X6" s="9">
        <v>1</v>
      </c>
      <c r="Y6" s="9">
        <v>1</v>
      </c>
      <c r="Z6" s="10" t="s">
        <v>9</v>
      </c>
      <c r="AA6" s="9">
        <v>0.57520000000000004</v>
      </c>
      <c r="AB6" s="9">
        <v>1.7400382808421799</v>
      </c>
      <c r="AC6" s="9">
        <v>2138.0701680000002</v>
      </c>
      <c r="AD6" s="9">
        <v>1.1652</v>
      </c>
      <c r="AE6" s="9">
        <v>0.85836909871244604</v>
      </c>
      <c r="AF6" s="9">
        <v>4331.153268</v>
      </c>
      <c r="AG6" s="9">
        <v>1.2504689258471899</v>
      </c>
      <c r="AH6" s="9">
        <v>0.8</v>
      </c>
      <c r="AI6" s="9">
        <v>4648.1055395773401</v>
      </c>
      <c r="AJ6" s="9">
        <v>1.3439000000000001</v>
      </c>
      <c r="AK6" s="9">
        <v>0.74432452549311501</v>
      </c>
      <c r="AL6" s="9">
        <v>4995.3972510000003</v>
      </c>
      <c r="AM6" s="9">
        <v>0.143342459469919</v>
      </c>
      <c r="AN6" s="9">
        <v>6.9771000000000001</v>
      </c>
      <c r="AO6" s="9">
        <v>532.81682267104304</v>
      </c>
      <c r="AP6" s="9">
        <v>0.143447326141841</v>
      </c>
      <c r="AQ6" s="9">
        <v>6.9717000000000002</v>
      </c>
      <c r="AR6" s="9">
        <v>533.20662152857506</v>
      </c>
      <c r="AS6" s="9">
        <v>6.7856415824116203E-4</v>
      </c>
      <c r="AT6" s="9">
        <v>1474.1</v>
      </c>
      <c r="AU6" s="9">
        <v>2.5222840469566399</v>
      </c>
      <c r="AV6" s="9">
        <v>6.2924742008557801E-3</v>
      </c>
      <c r="AW6" s="9">
        <v>158.94999999999999</v>
      </c>
      <c r="AX6" s="9">
        <v>23.389692927258999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8"/>
  <sheetViews>
    <sheetView workbookViewId="0">
      <selection activeCell="B2" sqref="B2:F8"/>
    </sheetView>
  </sheetViews>
  <sheetFormatPr baseColWidth="10" defaultRowHeight="15"/>
  <cols>
    <col min="2" max="2" width="13.28515625" bestFit="1" customWidth="1"/>
    <col min="3" max="3" width="37.42578125" bestFit="1" customWidth="1"/>
    <col min="4" max="4" width="34" bestFit="1" customWidth="1"/>
  </cols>
  <sheetData>
    <row r="1" spans="2:6" ht="15.75" thickBot="1"/>
    <row r="2" spans="2:6" ht="15.75" thickBot="1">
      <c r="B2" s="20" t="s">
        <v>8</v>
      </c>
      <c r="C2" s="21" t="s">
        <v>6</v>
      </c>
      <c r="D2" s="22" t="s">
        <v>7</v>
      </c>
      <c r="E2" s="22" t="s">
        <v>42</v>
      </c>
      <c r="F2" s="23" t="s">
        <v>43</v>
      </c>
    </row>
    <row r="3" spans="2:6">
      <c r="B3" s="17" t="s">
        <v>0</v>
      </c>
      <c r="C3" s="18">
        <v>0.72048704924528995</v>
      </c>
      <c r="D3" s="19">
        <v>1.38795</v>
      </c>
      <c r="E3" s="11" t="s">
        <v>24</v>
      </c>
      <c r="F3" s="15">
        <f>sheet1!$A$4</f>
        <v>46035</v>
      </c>
    </row>
    <row r="4" spans="2:6">
      <c r="B4" s="1" t="s">
        <v>1</v>
      </c>
      <c r="C4" s="3">
        <v>0.77606612083349502</v>
      </c>
      <c r="D4" s="13">
        <v>1.2885500000000001</v>
      </c>
      <c r="E4" s="11" t="s">
        <v>26</v>
      </c>
      <c r="F4" s="15">
        <f>sheet1!$A$4</f>
        <v>46035</v>
      </c>
    </row>
    <row r="5" spans="2:6">
      <c r="B5" s="1" t="s">
        <v>2</v>
      </c>
      <c r="C5" s="3">
        <v>1.1651</v>
      </c>
      <c r="D5" s="13">
        <v>0.85829542528538305</v>
      </c>
      <c r="E5" s="11" t="s">
        <v>29</v>
      </c>
      <c r="F5" s="15">
        <f>sheet1!$A$4</f>
        <v>46035</v>
      </c>
    </row>
    <row r="6" spans="2:6">
      <c r="B6" s="1" t="s">
        <v>3</v>
      </c>
      <c r="C6" s="3">
        <v>1.2502344189535499</v>
      </c>
      <c r="D6" s="13">
        <v>0.79984999999999995</v>
      </c>
      <c r="E6" s="11" t="s">
        <v>30</v>
      </c>
      <c r="F6" s="15">
        <f>sheet1!$A$4</f>
        <v>46035</v>
      </c>
    </row>
    <row r="7" spans="2:6">
      <c r="B7" s="1" t="s">
        <v>4</v>
      </c>
      <c r="C7" s="3">
        <v>1.3436999999999999</v>
      </c>
      <c r="D7" s="13">
        <v>0.74421373818560699</v>
      </c>
      <c r="E7" s="11" t="s">
        <v>31</v>
      </c>
      <c r="F7" s="15">
        <f>sheet1!$A$4</f>
        <v>46035</v>
      </c>
    </row>
    <row r="8" spans="2:6" ht="15.75" thickBot="1">
      <c r="B8" s="2" t="s">
        <v>5</v>
      </c>
      <c r="C8" s="4">
        <v>6.2918803284361504E-3</v>
      </c>
      <c r="D8" s="14">
        <v>158.935</v>
      </c>
      <c r="E8" s="12" t="s">
        <v>35</v>
      </c>
      <c r="F8" s="16">
        <f>sheet1!$A$4</f>
        <v>46035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AA37A-73AA-4773-B50B-3A62A14E9DB2}">
  <dimension ref="C2:G9"/>
  <sheetViews>
    <sheetView tabSelected="1" workbookViewId="0">
      <selection activeCell="E20" sqref="E20"/>
    </sheetView>
  </sheetViews>
  <sheetFormatPr baseColWidth="10" defaultRowHeight="15"/>
  <cols>
    <col min="2" max="2" width="13.28515625" bestFit="1" customWidth="1"/>
    <col min="3" max="4" width="13.28515625" customWidth="1"/>
    <col min="5" max="5" width="37.42578125" bestFit="1" customWidth="1"/>
  </cols>
  <sheetData>
    <row r="2" spans="3:7" ht="15.75" thickBot="1"/>
    <row r="3" spans="3:7" ht="15.75" thickBot="1">
      <c r="C3" s="25" t="s">
        <v>43</v>
      </c>
      <c r="D3" s="26" t="s">
        <v>47</v>
      </c>
      <c r="E3" s="24" t="s">
        <v>44</v>
      </c>
      <c r="F3" s="24" t="s">
        <v>45</v>
      </c>
      <c r="G3" s="25" t="s">
        <v>46</v>
      </c>
    </row>
    <row r="4" spans="3:7">
      <c r="C4" s="30">
        <f>sheet1!$A$4</f>
        <v>46035</v>
      </c>
      <c r="D4" s="27" t="s">
        <v>40</v>
      </c>
      <c r="E4" s="18" t="s">
        <v>24</v>
      </c>
      <c r="F4" s="18" t="s">
        <v>27</v>
      </c>
      <c r="G4" s="3">
        <v>0.72048999999999996</v>
      </c>
    </row>
    <row r="5" spans="3:7">
      <c r="C5" s="30">
        <f>sheet1!$A$4</f>
        <v>46035</v>
      </c>
      <c r="D5" s="28" t="s">
        <v>40</v>
      </c>
      <c r="E5" s="3" t="s">
        <v>27</v>
      </c>
      <c r="F5" s="3" t="s">
        <v>24</v>
      </c>
      <c r="G5" s="3">
        <v>1.38795</v>
      </c>
    </row>
    <row r="6" spans="3:7">
      <c r="C6" s="30">
        <f>sheet1!$A$4</f>
        <v>46035</v>
      </c>
      <c r="D6" s="28" t="s">
        <v>40</v>
      </c>
      <c r="E6" s="3" t="s">
        <v>30</v>
      </c>
      <c r="F6" s="3" t="s">
        <v>27</v>
      </c>
      <c r="G6" s="3">
        <v>0.79984999999999995</v>
      </c>
    </row>
    <row r="7" spans="3:7">
      <c r="C7" s="30">
        <f>sheet1!$A$4</f>
        <v>46035</v>
      </c>
      <c r="D7" s="28" t="s">
        <v>40</v>
      </c>
      <c r="E7" s="3" t="s">
        <v>27</v>
      </c>
      <c r="F7" s="3" t="s">
        <v>30</v>
      </c>
      <c r="G7" s="3">
        <v>1.2502344189535499</v>
      </c>
    </row>
    <row r="8" spans="3:7">
      <c r="C8" s="30"/>
      <c r="D8" s="28"/>
      <c r="E8" s="3"/>
      <c r="F8" s="3"/>
      <c r="G8" s="3"/>
    </row>
    <row r="9" spans="3:7" ht="15.75" thickBot="1">
      <c r="C9" s="30"/>
      <c r="D9" s="29"/>
      <c r="E9" s="4"/>
      <c r="F9" s="4"/>
      <c r="G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Jorge Hernan Gomez Reyes</cp:lastModifiedBy>
  <dcterms:created xsi:type="dcterms:W3CDTF">2026-01-12T17:20:14Z</dcterms:created>
  <dcterms:modified xsi:type="dcterms:W3CDTF">2026-01-14T23:44:44Z</dcterms:modified>
</cp:coreProperties>
</file>